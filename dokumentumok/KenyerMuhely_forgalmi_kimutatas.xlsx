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bdf8e519e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tok" sheetId="1" r:id="R17ce9a805d844a17"/>
    <x:sheet xmlns:r="http://schemas.openxmlformats.org/officeDocument/2006/relationships" name="Összesítés" sheetId="2" r:id="Rde466dab945f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Ft&quot;;[Red](#,##0)&quot; Ft&quot;;–"/>
    <x:numFmt numFmtId="201" formatCode="#,##0;[Red](#,##0);–"/>
    <x:numFmt numFmtId="202" formatCode="0&quot; hónap&quot;"/>
  </x:numFmts>
  <x:fonts count="14">
    <x:font>
      <x:sz val="11"/>
      <x:name val="Carlito"/>
    </x:font>
    <x:font>
      <x:b/>
      <x:sz val="19"/>
      <x:color rgb="FFFFFFFF"/>
      <x:name val="Aptos"/>
    </x:font>
    <x:font>
      <x:sz val="11"/>
      <x:color rgb="FF69452D"/>
      <x:name val="Aptos"/>
    </x:font>
    <x:font>
      <x:b/>
      <x:sz val="11"/>
      <x:color rgb="FFFFFFFF"/>
      <x:name val="Aptos"/>
    </x:font>
    <x:font>
      <x:b/>
      <x:sz val="10"/>
      <x:color rgb="FF69452D"/>
      <x:name val="Aptos"/>
    </x:font>
    <x:font>
      <x:sz val="10"/>
      <x:color rgb="FF222222"/>
      <x:name val="Aptos"/>
    </x:font>
    <x:font>
      <x:sz val="10"/>
      <x:color rgb="FF0000FF"/>
      <x:name val="Aptos"/>
    </x:font>
    <x:font>
      <x:sz val="10"/>
      <x:color rgb="FF69452D"/>
      <x:name val="Aptos"/>
    </x:font>
    <x:font>
      <x:b/>
      <x:sz val="9"/>
      <x:color rgb="FFFFFFFF"/>
      <x:name val="Aptos"/>
    </x:font>
    <x:font>
      <x:b/>
      <x:sz val="10"/>
      <x:color rgb="FFFFFFFF"/>
      <x:name val="Aptos"/>
    </x:font>
    <x:font>
      <x:b/>
      <x:sz val="16"/>
      <x:color rgb="FF16803D"/>
      <x:name val="Aptos"/>
    </x:font>
    <x:font>
      <x:b/>
      <x:sz val="16"/>
      <x:color rgb="FF222222"/>
      <x:name val="Aptos"/>
    </x:font>
    <x:font>
      <x:sz val="10"/>
      <x:color rgb="FF16803D"/>
      <x:name val="Aptos"/>
    </x:font>
    <x:font>
      <x:b/>
      <x:sz val="11"/>
      <x:color rgb="FF69452D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FFBF5"/>
      </x:patternFill>
    </x:fill>
    <x:fill>
      <x:patternFill patternType="solid">
        <x:fgColor rgb="FF38251D"/>
      </x:patternFill>
    </x:fill>
    <x:fill>
      <x:patternFill patternType="solid">
        <x:fgColor rgb="FFF1E5D3"/>
      </x:patternFill>
    </x:fill>
    <x:fill>
      <x:patternFill patternType="solid">
        <x:fgColor rgb="FF69452D"/>
      </x:patternFill>
    </x:fill>
    <x:fill>
      <x:patternFill patternType="solid">
        <x:fgColor rgb="FFEEF5FF"/>
      </x:patternFill>
    </x:fill>
    <x:fill>
      <x:patternFill patternType="solid">
        <x:fgColor rgb="FFF9F5EE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 applyAlignment="1">
      <x:alignment horizontal="right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right"/>
    </x:xf>
    <x:xf numFmtId="0" fontId="6" fillId="6" borderId="1" xfId="0" applyNumberFormat="1" applyFont="1" applyFill="1" applyBorder="1" applyAlignment="1">
      <x:alignment horizontal="right" vertical="center"/>
    </x:xf>
    <x:xf numFmtId="200" fontId="6" fillId="6" borderId="0" xfId="0" applyNumberFormat="1" applyFont="1" applyFill="1" applyBorder="1" applyAlignment="1">
      <x:alignment horizontal="right" vertical="center"/>
    </x:xf>
    <x:xf numFmtId="200" fontId="6" fillId="6" borderId="1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1" fontId="9" fillId="3" borderId="1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5" fillId="7" borderId="1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200" fontId="10" fillId="4" borderId="0" xfId="0" applyNumberFormat="1" applyFont="1" applyFill="1" applyBorder="1" applyAlignment="1">
      <x:alignment horizontal="center" vertical="center"/>
    </x:xf>
    <x:xf numFmtId="200" fontId="10" fillId="4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 applyAlignment="1">
      <x:alignment horizontal="center" vertical="center"/>
    </x:xf>
    <x:xf numFmtId="200" fontId="11" fillId="4" borderId="0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1" xfId="0" applyNumberFormat="1" applyFont="1" applyFill="1" applyBorder="1" applyAlignment="1">
      <x:alignment vertical="center"/>
    </x:xf>
    <x:xf numFmtId="200" fontId="12" fillId="2" borderId="0" xfId="0" applyNumberFormat="1" applyFont="1" applyFill="1" applyBorder="1" applyAlignment="1">
      <x:alignment vertical="center"/>
    </x:xf>
    <x:xf numFmtId="200" fontId="12" fillId="7" borderId="0" xfId="0" applyNumberFormat="1" applyFont="1" applyFill="1" applyBorder="1" applyAlignment="1">
      <x:alignment vertical="center"/>
    </x:xf>
    <x:xf numFmtId="200" fontId="12" fillId="2" borderId="1" xfId="0" applyNumberFormat="1" applyFont="1" applyFill="1" applyBorder="1" applyAlignment="1">
      <x:alignment vertical="center"/>
    </x:xf>
    <x:xf numFmtId="200" fontId="12" fillId="7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color rgb="FF16803D"/>
      </x:font>
      <x:fill>
        <x:patternFill patternType="solid">
          <x:bgColor rgb="FFEDF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f1ce5edb545b5" /><Relationship Type="http://schemas.openxmlformats.org/officeDocument/2006/relationships/theme" Target="/xl/theme/theme1.xml" Id="Rbc29621afa884aea" /><Relationship Type="http://schemas.openxmlformats.org/officeDocument/2006/relationships/sharedStrings" Target="/xl/sharedStrings.xml" Id="R7dc295884b904d29" /><Relationship Type="http://schemas.openxmlformats.org/officeDocument/2006/relationships/worksheet" Target="/xl/worksheets/sheet1.xml" Id="R17ce9a805d844a17" /><Relationship Type="http://schemas.openxmlformats.org/officeDocument/2006/relationships/worksheet" Target="/xl/worksheets/sheet2.xml" Id="Rde466dab945f4a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808f5161a84448" /><Relationship Type="http://schemas.openxmlformats.org/officeDocument/2006/relationships/chart" Target="/xl/drawings/charts/chart2.xml" Id="R4636eb26e1f44d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Havi bevételek, 2026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Havi bevétel</c:v>
          </c:tx>
          <c:cat>
            <c:strRef>
              <c:f>'Összesítés'!$A$13:$A$24</c:f>
              <c:strCache>
                <c:ptCount val="0"/>
              </c:strCache>
            </c:strRef>
          </c:cat>
          <c:val>
            <c:numRef>
              <c:f>'Összesítés'!$B$13:$B$24</c:f>
              <c:numCache>
                <c:formatCode>#,##0" Ft"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Éves kiadások megoszlása</a:t>
            </a:r>
          </a:p>
        </c:rich>
      </c:tx>
      <c:overlay val="0"/>
    </c:title>
    <c:plotArea>
      <c:pieChart>
        <c:ser>
          <c:idx val="0"/>
          <c:order val="0"/>
          <c:tx>
            <c:v>Kiadási megoszlás</c:v>
          </c:tx>
          <c:cat>
            <c:strRef>
              <c:f>'Összesítés'!$G$13:$G$16</c:f>
              <c:strCache>
                <c:ptCount val="0"/>
              </c:strCache>
            </c:strRef>
          </c:cat>
          <c:val>
            <c:numRef>
              <c:f>'Összesítés'!$K$13:$K$16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808f5161a84448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36eb26e1f44d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a6bbf7c22948ed" /></Relationships>
</file>

<file path=xl/worksheets/sheet1.xml><?xml version="1.0" encoding="utf-8"?>
<x:worksheet xmlns:x="http://schemas.openxmlformats.org/spreadsheetml/2006/main">
  <x:sheetViews>
    <x:sheetView workbookViewId="0">
      <x:pane ySplit="16" topLeftCell="A17" activePane="bottomLeft" state="frozen"/>
    </x:sheetView>
  </x:sheetViews>
  <x:sheetFormatPr defaultRowHeight="15"/>
  <x:cols>
    <x:col min="1" max="1" width="35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28" customHeight="1">
      <x:c r="A1" s="6" t="str">
        <x:v>KENYÉRMŰHELY KFT.  |  2026. ÉVI BEVÉTELEK ÉS KIADÁSOK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8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25" customHeight="1">
      <x:c r="A3" s="12" t="str">
        <x:v>Kézműves pékség  •  12 havi forgalom és költségek  •  Oktatási célú, fiktív pénzügyi terv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18" t="str">
        <x:v>TERMÉKEK ÉS ELADÁSI ÁRAK</x:v>
      </x:c>
      <x:c r="B5" s="18"/>
      <x:c r="C5" s="18"/>
      <x:c r="D5" s="2"/>
      <x:c r="E5" s="18" t="str">
        <x:v>ADATOK ÉS FELTÉTELEZÉSEK</x:v>
      </x:c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</x:row>
    <x:row r="6" ht="21" customHeight="1">
      <x:c r="A6" s="23" t="str">
        <x:v>Termék</x:v>
      </x:c>
      <x:c r="B6" s="23" t="str">
        <x:v>Egység</x:v>
      </x:c>
      <x:c r="C6" s="23" t="str">
        <x:v>Egységár (Ft)</x:v>
      </x:c>
      <x:c r="D6" s="2"/>
      <x:c r="E6" s="42" t="str">
        <x:v>Az árak a KenyérMűhely Kft. csapatdokumentumának 7. oldalán található árlistából származnak.</x:v>
      </x:c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</x:row>
    <x:row r="7" ht="21" customHeight="1">
      <x:c r="A7" s="27" t="str">
        <x:v>Hagyományos kovászos fehér kenyér</x:v>
      </x:c>
      <x:c r="B7" s="27" t="str">
        <x:v>1 kg</x:v>
      </x:c>
      <x:c r="C7" s="38" t="n">
        <x:v>1200</x:v>
      </x:c>
      <x:c r="D7" s="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</x:row>
    <x:row r="8" ht="21" customHeight="1">
      <x:c r="A8" s="27" t="str">
        <x:v>Teljes kiőrlésű rozskenyér</x:v>
      </x:c>
      <x:c r="B8" s="27" t="str">
        <x:v>750 g</x:v>
      </x:c>
      <x:c r="C8" s="38" t="n">
        <x:v>950</x:v>
      </x:c>
      <x:c r="D8" s="2"/>
      <x:c r="E8" s="42" t="str">
        <x:v>Az értékesítési darabszámok és a havi kiadások kitalált, szemléltető mintaadatok; a bevételek és eredmények képlettel számolódnak.</x:v>
      </x:c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</x:row>
    <x:row r="9" ht="21" customHeight="1">
      <x:c r="A9" s="27" t="str">
        <x:v>Kézműves vajas croissant</x:v>
      </x:c>
      <x:c r="B9" s="27" t="str">
        <x:v>1 db</x:v>
      </x:c>
      <x:c r="C9" s="38" t="n">
        <x:v>450</x:v>
      </x:c>
      <x:c r="D9" s="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</x:row>
    <x:row r="10" ht="21" customHeight="1">
      <x:c r="A10" s="27" t="str">
        <x:v>Fahéjas / kakaós csiga</x:v>
      </x:c>
      <x:c r="B10" s="27" t="str">
        <x:v>1 db</x:v>
      </x:c>
      <x:c r="C10" s="38" t="n">
        <x:v>500</x:v>
      </x:c>
      <x:c r="D10" s="2"/>
      <x:c r="E10" s="42" t="str">
        <x:v>Módosítható adatok: kék mezők (árak, értékesített darabszámok és költségek). A számított értékek automatikusan frissülnek.</x:v>
      </x:c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</x:row>
    <x:row r="11" ht="21" customHeight="1">
      <x:c r="A11" s="27" t="str">
        <x:v>Helyi pörkölésű szemes kávé</x:v>
      </x:c>
      <x:c r="B11" s="27" t="str">
        <x:v>250 g</x:v>
      </x:c>
      <x:c r="C11" s="38" t="n">
        <x:v>2400</x:v>
      </x:c>
      <x:c r="D11" s="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23" t="str">
        <x:v>A havi bevétel = eladott mennyiség × egységár  |  A havi nyereség = teljes bevétel − teljes kiadás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6" customHeight="1">
      <x:c r="A15" s="18" t="str">
        <x:v>12 HAVI FORGALOM, KÖLTSÉGEK ÉS EREDMÉNY</x:v>
      </x:c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 ht="39" customHeight="1">
      <x:c r="A16" s="52" t="str">
        <x:v>Hónap</x:v>
      </x:c>
      <x:c r="B16" s="52" t="str">
        <x:v>Fehér kenyér
(db)</x:v>
      </x:c>
      <x:c r="C16" s="52" t="str">
        <x:v>Rozskenyér
(db)</x:v>
      </x:c>
      <x:c r="D16" s="52" t="str">
        <x:v>Croissant
(db)</x:v>
      </x:c>
      <x:c r="E16" s="52" t="str">
        <x:v>Csiga
(db)</x:v>
      </x:c>
      <x:c r="F16" s="52" t="str">
        <x:v>Kávé
(db)</x:v>
      </x:c>
      <x:c r="G16" s="52" t="str">
        <x:v>Fehér kenyér
(Ft)</x:v>
      </x:c>
      <x:c r="H16" s="52" t="str">
        <x:v>Rozskenyér
(Ft)</x:v>
      </x:c>
      <x:c r="I16" s="52" t="str">
        <x:v>Croissant
(Ft)</x:v>
      </x:c>
      <x:c r="J16" s="52" t="str">
        <x:v>Csiga
(Ft)</x:v>
      </x:c>
      <x:c r="K16" s="52" t="str">
        <x:v>Kávé
(Ft)</x:v>
      </x:c>
      <x:c r="L16" s="52" t="str">
        <x:v>Összes bevétel
(Ft)</x:v>
      </x:c>
      <x:c r="M16" s="52" t="str">
        <x:v>Alapanyagok
(Ft)</x:v>
      </x:c>
      <x:c r="N16" s="52" t="str">
        <x:v>Bérek
(Ft)</x:v>
      </x:c>
      <x:c r="O16" s="52" t="str">
        <x:v>Bérlet + rezsi
(Ft)</x:v>
      </x:c>
      <x:c r="P16" s="52" t="str">
        <x:v>Egyéb kiadás
(Ft)</x:v>
      </x:c>
      <x:c r="Q16" s="52" t="str">
        <x:v>Összes kiadás
(Ft)</x:v>
      </x:c>
      <x:c r="R16" s="52" t="str">
        <x:v>Havi eredmény
(Ft)</x:v>
      </x:c>
    </x:row>
    <x:row r="17" ht="25" customHeight="1">
      <x:c r="A17" s="23" t="str">
        <x:v>Január</x:v>
      </x:c>
      <x:c r="B17" s="68" t="n">
        <x:v>1100</x:v>
      </x:c>
      <x:c r="C17" s="68" t="n">
        <x:v>720</x:v>
      </x:c>
      <x:c r="D17" s="68" t="n">
        <x:v>1900</x:v>
      </x:c>
      <x:c r="E17" s="68" t="n">
        <x:v>1350</x:v>
      </x:c>
      <x:c r="F17" s="68" t="n">
        <x:v>130</x:v>
      </x:c>
      <x:c r="G17" s="72" t="n">
        <x:f>B17*$C$7</x:f>
        <x:v>1320000</x:v>
      </x:c>
      <x:c r="H17" s="72" t="n">
        <x:f>C17*$C$8</x:f>
        <x:v>684000</x:v>
      </x:c>
      <x:c r="I17" s="72" t="n">
        <x:f>D17*$C$9</x:f>
        <x:v>855000</x:v>
      </x:c>
      <x:c r="J17" s="72" t="n">
        <x:f>E17*$C$10</x:f>
        <x:v>675000</x:v>
      </x:c>
      <x:c r="K17" s="72" t="n">
        <x:f>F17*$C$11</x:f>
        <x:v>312000</x:v>
      </x:c>
      <x:c r="L17" s="72" t="n">
        <x:f>SUM(G17:K17)</x:f>
        <x:v>3846000</x:v>
      </x:c>
      <x:c r="M17" s="73" t="n">
        <x:v>1330000</x:v>
      </x:c>
      <x:c r="N17" s="73" t="n">
        <x:v>1720000</x:v>
      </x:c>
      <x:c r="O17" s="73" t="n">
        <x:v>580000</x:v>
      </x:c>
      <x:c r="P17" s="73" t="n">
        <x:v>200000</x:v>
      </x:c>
      <x:c r="Q17" s="72" t="n">
        <x:f>SUM(M17:P17)</x:f>
        <x:v>3830000</x:v>
      </x:c>
      <x:c r="R17" s="72" t="n">
        <x:f>L17-Q17</x:f>
        <x:v>16000</x:v>
      </x:c>
    </x:row>
    <x:row r="18" ht="25" customHeight="1">
      <x:c r="A18" s="23" t="str">
        <x:v>Február</x:v>
      </x:c>
      <x:c r="B18" s="68" t="n">
        <x:v>1050</x:v>
      </x:c>
      <x:c r="C18" s="68" t="n">
        <x:v>690</x:v>
      </x:c>
      <x:c r="D18" s="68" t="n">
        <x:v>1800</x:v>
      </x:c>
      <x:c r="E18" s="68" t="n">
        <x:v>1250</x:v>
      </x:c>
      <x:c r="F18" s="68" t="n">
        <x:v>115</x:v>
      </x:c>
      <x:c r="G18" s="74" t="n">
        <x:f>B18*$C$7</x:f>
        <x:v>1260000</x:v>
      </x:c>
      <x:c r="H18" s="74" t="n">
        <x:f>C18*$C$8</x:f>
        <x:v>655500</x:v>
      </x:c>
      <x:c r="I18" s="74" t="n">
        <x:f>D18*$C$9</x:f>
        <x:v>810000</x:v>
      </x:c>
      <x:c r="J18" s="74" t="n">
        <x:f>E18*$C$10</x:f>
        <x:v>625000</x:v>
      </x:c>
      <x:c r="K18" s="74" t="n">
        <x:f>F18*$C$11</x:f>
        <x:v>276000</x:v>
      </x:c>
      <x:c r="L18" s="74" t="n">
        <x:f>SUM(G18:K18)</x:f>
        <x:v>3626500</x:v>
      </x:c>
      <x:c r="M18" s="73" t="n">
        <x:v>1280000</x:v>
      </x:c>
      <x:c r="N18" s="73" t="n">
        <x:v>1720000</x:v>
      </x:c>
      <x:c r="O18" s="73" t="n">
        <x:v>580000</x:v>
      </x:c>
      <x:c r="P18" s="73" t="n">
        <x:v>190000</x:v>
      </x:c>
      <x:c r="Q18" s="74" t="n">
        <x:f>SUM(M18:P18)</x:f>
        <x:v>3770000</x:v>
      </x:c>
      <x:c r="R18" s="74" t="n">
        <x:f>L18-Q18</x:f>
        <x:v>-143500</x:v>
      </x:c>
    </x:row>
    <x:row r="19" ht="25" customHeight="1">
      <x:c r="A19" s="23" t="str">
        <x:v>Március</x:v>
      </x:c>
      <x:c r="B19" s="68" t="n">
        <x:v>1170</x:v>
      </x:c>
      <x:c r="C19" s="68" t="n">
        <x:v>760</x:v>
      </x:c>
      <x:c r="D19" s="68" t="n">
        <x:v>2100</x:v>
      </x:c>
      <x:c r="E19" s="68" t="n">
        <x:v>1460</x:v>
      </x:c>
      <x:c r="F19" s="68" t="n">
        <x:v>145</x:v>
      </x:c>
      <x:c r="G19" s="72" t="n">
        <x:f>B19*$C$7</x:f>
        <x:v>1404000</x:v>
      </x:c>
      <x:c r="H19" s="72" t="n">
        <x:f>C19*$C$8</x:f>
        <x:v>722000</x:v>
      </x:c>
      <x:c r="I19" s="72" t="n">
        <x:f>D19*$C$9</x:f>
        <x:v>945000</x:v>
      </x:c>
      <x:c r="J19" s="72" t="n">
        <x:f>E19*$C$10</x:f>
        <x:v>730000</x:v>
      </x:c>
      <x:c r="K19" s="72" t="n">
        <x:f>F19*$C$11</x:f>
        <x:v>348000</x:v>
      </x:c>
      <x:c r="L19" s="72" t="n">
        <x:f>SUM(G19:K19)</x:f>
        <x:v>4149000</x:v>
      </x:c>
      <x:c r="M19" s="73" t="n">
        <x:v>1400000</x:v>
      </x:c>
      <x:c r="N19" s="73" t="n">
        <x:v>1720000</x:v>
      </x:c>
      <x:c r="O19" s="73" t="n">
        <x:v>590000</x:v>
      </x:c>
      <x:c r="P19" s="73" t="n">
        <x:v>200000</x:v>
      </x:c>
      <x:c r="Q19" s="72" t="n">
        <x:f>SUM(M19:P19)</x:f>
        <x:v>3910000</x:v>
      </x:c>
      <x:c r="R19" s="72" t="n">
        <x:f>L19-Q19</x:f>
        <x:v>239000</x:v>
      </x:c>
    </x:row>
    <x:row r="20" ht="25" customHeight="1">
      <x:c r="A20" s="23" t="str">
        <x:v>Április</x:v>
      </x:c>
      <x:c r="B20" s="68" t="n">
        <x:v>1250</x:v>
      </x:c>
      <x:c r="C20" s="68" t="n">
        <x:v>820</x:v>
      </x:c>
      <x:c r="D20" s="68" t="n">
        <x:v>2200</x:v>
      </x:c>
      <x:c r="E20" s="68" t="n">
        <x:v>1550</x:v>
      </x:c>
      <x:c r="F20" s="68" t="n">
        <x:v>150</x:v>
      </x:c>
      <x:c r="G20" s="74" t="n">
        <x:f>B20*$C$7</x:f>
        <x:v>1500000</x:v>
      </x:c>
      <x:c r="H20" s="74" t="n">
        <x:f>C20*$C$8</x:f>
        <x:v>779000</x:v>
      </x:c>
      <x:c r="I20" s="74" t="n">
        <x:f>D20*$C$9</x:f>
        <x:v>990000</x:v>
      </x:c>
      <x:c r="J20" s="74" t="n">
        <x:f>E20*$C$10</x:f>
        <x:v>775000</x:v>
      </x:c>
      <x:c r="K20" s="74" t="n">
        <x:f>F20*$C$11</x:f>
        <x:v>360000</x:v>
      </x:c>
      <x:c r="L20" s="74" t="n">
        <x:f>SUM(G20:K20)</x:f>
        <x:v>4404000</x:v>
      </x:c>
      <x:c r="M20" s="73" t="n">
        <x:v>1540000</x:v>
      </x:c>
      <x:c r="N20" s="73" t="n">
        <x:v>1720000</x:v>
      </x:c>
      <x:c r="O20" s="73" t="n">
        <x:v>590000</x:v>
      </x:c>
      <x:c r="P20" s="73" t="n">
        <x:v>210000</x:v>
      </x:c>
      <x:c r="Q20" s="74" t="n">
        <x:f>SUM(M20:P20)</x:f>
        <x:v>4060000</x:v>
      </x:c>
      <x:c r="R20" s="74" t="n">
        <x:f>L20-Q20</x:f>
        <x:v>344000</x:v>
      </x:c>
    </x:row>
    <x:row r="21" ht="25" customHeight="1">
      <x:c r="A21" s="23" t="str">
        <x:v>Május</x:v>
      </x:c>
      <x:c r="B21" s="68" t="n">
        <x:v>1350</x:v>
      </x:c>
      <x:c r="C21" s="68" t="n">
        <x:v>900</x:v>
      </x:c>
      <x:c r="D21" s="68" t="n">
        <x:v>2400</x:v>
      </x:c>
      <x:c r="E21" s="68" t="n">
        <x:v>1700</x:v>
      </x:c>
      <x:c r="F21" s="68" t="n">
        <x:v>160</x:v>
      </x:c>
      <x:c r="G21" s="72" t="n">
        <x:f>B21*$C$7</x:f>
        <x:v>1620000</x:v>
      </x:c>
      <x:c r="H21" s="72" t="n">
        <x:f>C21*$C$8</x:f>
        <x:v>855000</x:v>
      </x:c>
      <x:c r="I21" s="72" t="n">
        <x:f>D21*$C$9</x:f>
        <x:v>1080000</x:v>
      </x:c>
      <x:c r="J21" s="72" t="n">
        <x:f>E21*$C$10</x:f>
        <x:v>850000</x:v>
      </x:c>
      <x:c r="K21" s="72" t="n">
        <x:f>F21*$C$11</x:f>
        <x:v>384000</x:v>
      </x:c>
      <x:c r="L21" s="72" t="n">
        <x:f>SUM(G21:K21)</x:f>
        <x:v>4789000</x:v>
      </x:c>
      <x:c r="M21" s="73" t="n">
        <x:v>1620000</x:v>
      </x:c>
      <x:c r="N21" s="73" t="n">
        <x:v>1720000</x:v>
      </x:c>
      <x:c r="O21" s="73" t="n">
        <x:v>600000</x:v>
      </x:c>
      <x:c r="P21" s="73" t="n">
        <x:v>220000</x:v>
      </x:c>
      <x:c r="Q21" s="72" t="n">
        <x:f>SUM(M21:P21)</x:f>
        <x:v>4160000</x:v>
      </x:c>
      <x:c r="R21" s="72" t="n">
        <x:f>L21-Q21</x:f>
        <x:v>629000</x:v>
      </x:c>
    </x:row>
    <x:row r="22" ht="25" customHeight="1">
      <x:c r="A22" s="23" t="str">
        <x:v>Június</x:v>
      </x:c>
      <x:c r="B22" s="68" t="n">
        <x:v>1430</x:v>
      </x:c>
      <x:c r="C22" s="68" t="n">
        <x:v>940</x:v>
      </x:c>
      <x:c r="D22" s="68" t="n">
        <x:v>2550</x:v>
      </x:c>
      <x:c r="E22" s="68" t="n">
        <x:v>1800</x:v>
      </x:c>
      <x:c r="F22" s="68" t="n">
        <x:v>165</x:v>
      </x:c>
      <x:c r="G22" s="74" t="n">
        <x:f>B22*$C$7</x:f>
        <x:v>1716000</x:v>
      </x:c>
      <x:c r="H22" s="74" t="n">
        <x:f>C22*$C$8</x:f>
        <x:v>893000</x:v>
      </x:c>
      <x:c r="I22" s="74" t="n">
        <x:f>D22*$C$9</x:f>
        <x:v>1147500</x:v>
      </x:c>
      <x:c r="J22" s="74" t="n">
        <x:f>E22*$C$10</x:f>
        <x:v>900000</x:v>
      </x:c>
      <x:c r="K22" s="74" t="n">
        <x:f>F22*$C$11</x:f>
        <x:v>396000</x:v>
      </x:c>
      <x:c r="L22" s="74" t="n">
        <x:f>SUM(G22:K22)</x:f>
        <x:v>5052500</x:v>
      </x:c>
      <x:c r="M22" s="73" t="n">
        <x:v>1700000</x:v>
      </x:c>
      <x:c r="N22" s="73" t="n">
        <x:v>1780000</x:v>
      </x:c>
      <x:c r="O22" s="73" t="n">
        <x:v>610000</x:v>
      </x:c>
      <x:c r="P22" s="73" t="n">
        <x:v>230000</x:v>
      </x:c>
      <x:c r="Q22" s="74" t="n">
        <x:f>SUM(M22:P22)</x:f>
        <x:v>4320000</x:v>
      </x:c>
      <x:c r="R22" s="74" t="n">
        <x:f>L22-Q22</x:f>
        <x:v>732500</x:v>
      </x:c>
    </x:row>
    <x:row r="23" ht="25" customHeight="1">
      <x:c r="A23" s="23" t="str">
        <x:v>Július</x:v>
      </x:c>
      <x:c r="B23" s="68" t="n">
        <x:v>1480</x:v>
      </x:c>
      <x:c r="C23" s="68" t="n">
        <x:v>970</x:v>
      </x:c>
      <x:c r="D23" s="68" t="n">
        <x:v>2700</x:v>
      </x:c>
      <x:c r="E23" s="68" t="n">
        <x:v>1850</x:v>
      </x:c>
      <x:c r="F23" s="68" t="n">
        <x:v>170</x:v>
      </x:c>
      <x:c r="G23" s="72" t="n">
        <x:f>B23*$C$7</x:f>
        <x:v>1776000</x:v>
      </x:c>
      <x:c r="H23" s="72" t="n">
        <x:f>C23*$C$8</x:f>
        <x:v>921500</x:v>
      </x:c>
      <x:c r="I23" s="72" t="n">
        <x:f>D23*$C$9</x:f>
        <x:v>1215000</x:v>
      </x:c>
      <x:c r="J23" s="72" t="n">
        <x:f>E23*$C$10</x:f>
        <x:v>925000</x:v>
      </x:c>
      <x:c r="K23" s="72" t="n">
        <x:f>F23*$C$11</x:f>
        <x:v>408000</x:v>
      </x:c>
      <x:c r="L23" s="72" t="n">
        <x:f>SUM(G23:K23)</x:f>
        <x:v>5245500</x:v>
      </x:c>
      <x:c r="M23" s="73" t="n">
        <x:v>1780000</x:v>
      </x:c>
      <x:c r="N23" s="73" t="n">
        <x:v>1780000</x:v>
      </x:c>
      <x:c r="O23" s="73" t="n">
        <x:v>620000</x:v>
      </x:c>
      <x:c r="P23" s="73" t="n">
        <x:v>250000</x:v>
      </x:c>
      <x:c r="Q23" s="72" t="n">
        <x:f>SUM(M23:P23)</x:f>
        <x:v>4430000</x:v>
      </x:c>
      <x:c r="R23" s="72" t="n">
        <x:f>L23-Q23</x:f>
        <x:v>815500</x:v>
      </x:c>
    </x:row>
    <x:row r="24" ht="25" customHeight="1">
      <x:c r="A24" s="23" t="str">
        <x:v>Augusztus</x:v>
      </x:c>
      <x:c r="B24" s="68" t="n">
        <x:v>1550</x:v>
      </x:c>
      <x:c r="C24" s="68" t="n">
        <x:v>1020</x:v>
      </x:c>
      <x:c r="D24" s="68" t="n">
        <x:v>2800</x:v>
      </x:c>
      <x:c r="E24" s="68" t="n">
        <x:v>1950</x:v>
      </x:c>
      <x:c r="F24" s="68" t="n">
        <x:v>185</x:v>
      </x:c>
      <x:c r="G24" s="74" t="n">
        <x:f>B24*$C$7</x:f>
        <x:v>1860000</x:v>
      </x:c>
      <x:c r="H24" s="74" t="n">
        <x:f>C24*$C$8</x:f>
        <x:v>969000</x:v>
      </x:c>
      <x:c r="I24" s="74" t="n">
        <x:f>D24*$C$9</x:f>
        <x:v>1260000</x:v>
      </x:c>
      <x:c r="J24" s="74" t="n">
        <x:f>E24*$C$10</x:f>
        <x:v>975000</x:v>
      </x:c>
      <x:c r="K24" s="74" t="n">
        <x:f>F24*$C$11</x:f>
        <x:v>444000</x:v>
      </x:c>
      <x:c r="L24" s="74" t="n">
        <x:f>SUM(G24:K24)</x:f>
        <x:v>5508000</x:v>
      </x:c>
      <x:c r="M24" s="73" t="n">
        <x:v>1830000</x:v>
      </x:c>
      <x:c r="N24" s="73" t="n">
        <x:v>1780000</x:v>
      </x:c>
      <x:c r="O24" s="73" t="n">
        <x:v>630000</x:v>
      </x:c>
      <x:c r="P24" s="73" t="n">
        <x:v>260000</x:v>
      </x:c>
      <x:c r="Q24" s="74" t="n">
        <x:f>SUM(M24:P24)</x:f>
        <x:v>4500000</x:v>
      </x:c>
      <x:c r="R24" s="74" t="n">
        <x:f>L24-Q24</x:f>
        <x:v>1008000</x:v>
      </x:c>
    </x:row>
    <x:row r="25" ht="25" customHeight="1">
      <x:c r="A25" s="23" t="str">
        <x:v>Szeptember</x:v>
      </x:c>
      <x:c r="B25" s="68" t="n">
        <x:v>1400</x:v>
      </x:c>
      <x:c r="C25" s="68" t="n">
        <x:v>920</x:v>
      </x:c>
      <x:c r="D25" s="68" t="n">
        <x:v>2650</x:v>
      </x:c>
      <x:c r="E25" s="68" t="n">
        <x:v>1880</x:v>
      </x:c>
      <x:c r="F25" s="68" t="n">
        <x:v>175</x:v>
      </x:c>
      <x:c r="G25" s="72" t="n">
        <x:f>B25*$C$7</x:f>
        <x:v>1680000</x:v>
      </x:c>
      <x:c r="H25" s="72" t="n">
        <x:f>C25*$C$8</x:f>
        <x:v>874000</x:v>
      </x:c>
      <x:c r="I25" s="72" t="n">
        <x:f>D25*$C$9</x:f>
        <x:v>1192500</x:v>
      </x:c>
      <x:c r="J25" s="72" t="n">
        <x:f>E25*$C$10</x:f>
        <x:v>940000</x:v>
      </x:c>
      <x:c r="K25" s="72" t="n">
        <x:f>F25*$C$11</x:f>
        <x:v>420000</x:v>
      </x:c>
      <x:c r="L25" s="72" t="n">
        <x:f>SUM(G25:K25)</x:f>
        <x:v>5106500</x:v>
      </x:c>
      <x:c r="M25" s="73" t="n">
        <x:v>1740000</x:v>
      </x:c>
      <x:c r="N25" s="73" t="n">
        <x:v>1800000</x:v>
      </x:c>
      <x:c r="O25" s="73" t="n">
        <x:v>625000</x:v>
      </x:c>
      <x:c r="P25" s="73" t="n">
        <x:v>245000</x:v>
      </x:c>
      <x:c r="Q25" s="72" t="n">
        <x:f>SUM(M25:P25)</x:f>
        <x:v>4410000</x:v>
      </x:c>
      <x:c r="R25" s="72" t="n">
        <x:f>L25-Q25</x:f>
        <x:v>696500</x:v>
      </x:c>
    </x:row>
    <x:row r="26" ht="25" customHeight="1">
      <x:c r="A26" s="23" t="str">
        <x:v>Október</x:v>
      </x:c>
      <x:c r="B26" s="68" t="n">
        <x:v>1350</x:v>
      </x:c>
      <x:c r="C26" s="68" t="n">
        <x:v>880</x:v>
      </x:c>
      <x:c r="D26" s="68" t="n">
        <x:v>2450</x:v>
      </x:c>
      <x:c r="E26" s="68" t="n">
        <x:v>1770</x:v>
      </x:c>
      <x:c r="F26" s="68" t="n">
        <x:v>160</x:v>
      </x:c>
      <x:c r="G26" s="74" t="n">
        <x:f>B26*$C$7</x:f>
        <x:v>1620000</x:v>
      </x:c>
      <x:c r="H26" s="74" t="n">
        <x:f>C26*$C$8</x:f>
        <x:v>836000</x:v>
      </x:c>
      <x:c r="I26" s="74" t="n">
        <x:f>D26*$C$9</x:f>
        <x:v>1102500</x:v>
      </x:c>
      <x:c r="J26" s="74" t="n">
        <x:f>E26*$C$10</x:f>
        <x:v>885000</x:v>
      </x:c>
      <x:c r="K26" s="74" t="n">
        <x:f>F26*$C$11</x:f>
        <x:v>384000</x:v>
      </x:c>
      <x:c r="L26" s="74" t="n">
        <x:f>SUM(G26:K26)</x:f>
        <x:v>4827500</x:v>
      </x:c>
      <x:c r="M26" s="73" t="n">
        <x:v>1660000</x:v>
      </x:c>
      <x:c r="N26" s="73" t="n">
        <x:v>1800000</x:v>
      </x:c>
      <x:c r="O26" s="73" t="n">
        <x:v>630000</x:v>
      </x:c>
      <x:c r="P26" s="73" t="n">
        <x:v>235000</x:v>
      </x:c>
      <x:c r="Q26" s="74" t="n">
        <x:f>SUM(M26:P26)</x:f>
        <x:v>4325000</x:v>
      </x:c>
      <x:c r="R26" s="74" t="n">
        <x:f>L26-Q26</x:f>
        <x:v>502500</x:v>
      </x:c>
    </x:row>
    <x:row r="27" ht="25" customHeight="1">
      <x:c r="A27" s="23" t="str">
        <x:v>November</x:v>
      </x:c>
      <x:c r="B27" s="68" t="n">
        <x:v>1270</x:v>
      </x:c>
      <x:c r="C27" s="68" t="n">
        <x:v>835</x:v>
      </x:c>
      <x:c r="D27" s="68" t="n">
        <x:v>2380</x:v>
      </x:c>
      <x:c r="E27" s="68" t="n">
        <x:v>1700</x:v>
      </x:c>
      <x:c r="F27" s="68" t="n">
        <x:v>170</x:v>
      </x:c>
      <x:c r="G27" s="72" t="n">
        <x:f>B27*$C$7</x:f>
        <x:v>1524000</x:v>
      </x:c>
      <x:c r="H27" s="72" t="n">
        <x:f>C27*$C$8</x:f>
        <x:v>793250</x:v>
      </x:c>
      <x:c r="I27" s="72" t="n">
        <x:f>D27*$C$9</x:f>
        <x:v>1071000</x:v>
      </x:c>
      <x:c r="J27" s="72" t="n">
        <x:f>E27*$C$10</x:f>
        <x:v>850000</x:v>
      </x:c>
      <x:c r="K27" s="72" t="n">
        <x:f>F27*$C$11</x:f>
        <x:v>408000</x:v>
      </x:c>
      <x:c r="L27" s="72" t="n">
        <x:f>SUM(G27:K27)</x:f>
        <x:v>4646250</x:v>
      </x:c>
      <x:c r="M27" s="73" t="n">
        <x:v>1640000</x:v>
      </x:c>
      <x:c r="N27" s="73" t="n">
        <x:v>1800000</x:v>
      </x:c>
      <x:c r="O27" s="73" t="n">
        <x:v>650000</x:v>
      </x:c>
      <x:c r="P27" s="73" t="n">
        <x:v>250000</x:v>
      </x:c>
      <x:c r="Q27" s="72" t="n">
        <x:f>SUM(M27:P27)</x:f>
        <x:v>4340000</x:v>
      </x:c>
      <x:c r="R27" s="72" t="n">
        <x:f>L27-Q27</x:f>
        <x:v>306250</x:v>
      </x:c>
    </x:row>
    <x:row r="28" ht="25" customHeight="1">
      <x:c r="A28" s="23" t="str">
        <x:v>December</x:v>
      </x:c>
      <x:c r="B28" s="68" t="n">
        <x:v>1700</x:v>
      </x:c>
      <x:c r="C28" s="68" t="n">
        <x:v>1100</x:v>
      </x:c>
      <x:c r="D28" s="68" t="n">
        <x:v>3250</x:v>
      </x:c>
      <x:c r="E28" s="68" t="n">
        <x:v>2400</x:v>
      </x:c>
      <x:c r="F28" s="68" t="n">
        <x:v>235</x:v>
      </x:c>
      <x:c r="G28" s="74" t="n">
        <x:f>B28*$C$7</x:f>
        <x:v>2040000</x:v>
      </x:c>
      <x:c r="H28" s="74" t="n">
        <x:f>C28*$C$8</x:f>
        <x:v>1045000</x:v>
      </x:c>
      <x:c r="I28" s="74" t="n">
        <x:f>D28*$C$9</x:f>
        <x:v>1462500</x:v>
      </x:c>
      <x:c r="J28" s="74" t="n">
        <x:f>E28*$C$10</x:f>
        <x:v>1200000</x:v>
      </x:c>
      <x:c r="K28" s="74" t="n">
        <x:f>F28*$C$11</x:f>
        <x:v>564000</x:v>
      </x:c>
      <x:c r="L28" s="74" t="n">
        <x:f>SUM(G28:K28)</x:f>
        <x:v>6311500</x:v>
      </x:c>
      <x:c r="M28" s="73" t="n">
        <x:v>2150000</x:v>
      </x:c>
      <x:c r="N28" s="73" t="n">
        <x:v>2030000</x:v>
      </x:c>
      <x:c r="O28" s="73" t="n">
        <x:v>700000</x:v>
      </x:c>
      <x:c r="P28" s="73" t="n">
        <x:v>320000</x:v>
      </x:c>
      <x:c r="Q28" s="74" t="n">
        <x:f>SUM(M28:P28)</x:f>
        <x:v>5200000</x:v>
      </x:c>
      <x:c r="R28" s="74" t="n">
        <x:f>L28-Q28</x:f>
        <x:v>1111500</x:v>
      </x:c>
    </x:row>
    <x:row r="29" ht="30" customHeight="1">
      <x:c r="A29" s="65" t="str">
        <x:v>ÉVES ÖSSZESEN</x:v>
      </x:c>
      <x:c r="B29" s="69" t="n">
        <x:f>SUM(B17:B28)</x:f>
        <x:v>16100</x:v>
      </x:c>
      <x:c r="C29" s="69" t="n">
        <x:f>SUM(C17:C28)</x:f>
        <x:v>10555</x:v>
      </x:c>
      <x:c r="D29" s="69" t="n">
        <x:f>SUM(D17:D28)</x:f>
        <x:v>29180</x:v>
      </x:c>
      <x:c r="E29" s="69" t="n">
        <x:f>SUM(E17:E28)</x:f>
        <x:v>20660</x:v>
      </x:c>
      <x:c r="F29" s="69" t="n">
        <x:f>SUM(F17:F28)</x:f>
        <x:v>1960</x:v>
      </x:c>
      <x:c r="G29" s="75" t="n">
        <x:f>SUM(G17:G28)</x:f>
        <x:v>19320000</x:v>
      </x:c>
      <x:c r="H29" s="75" t="n">
        <x:f>SUM(H17:H28)</x:f>
        <x:v>10027250</x:v>
      </x:c>
      <x:c r="I29" s="75" t="n">
        <x:f>SUM(I17:I28)</x:f>
        <x:v>13131000</x:v>
      </x:c>
      <x:c r="J29" s="75" t="n">
        <x:f>SUM(J17:J28)</x:f>
        <x:v>10330000</x:v>
      </x:c>
      <x:c r="K29" s="75" t="n">
        <x:f>SUM(K17:K28)</x:f>
        <x:v>4704000</x:v>
      </x:c>
      <x:c r="L29" s="75" t="n">
        <x:f>SUM(L17:L28)</x:f>
        <x:v>57512250</x:v>
      </x:c>
      <x:c r="M29" s="75" t="n">
        <x:f>SUM(M17:M28)</x:f>
        <x:v>19670000</x:v>
      </x:c>
      <x:c r="N29" s="75" t="n">
        <x:f>SUM(N17:N28)</x:f>
        <x:v>21370000</x:v>
      </x:c>
      <x:c r="O29" s="75" t="n">
        <x:f>SUM(O17:O28)</x:f>
        <x:v>7405000</x:v>
      </x:c>
      <x:c r="P29" s="75" t="n">
        <x:f>SUM(P17:P28)</x:f>
        <x:v>2810000</x:v>
      </x:c>
      <x:c r="Q29" s="75" t="n">
        <x:f>SUM(Q17:Q28)</x:f>
        <x:v>51255000</x:v>
      </x:c>
      <x:c r="R29" s="75" t="n">
        <x:f>SUM(R17:R28)</x:f>
        <x:v>6257250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6" customHeight="1">
      <x:c r="A31" s="42" t="str">
        <x:v>Megjegyzés: a kiadásokat négy csoportba soroltuk: alapanyag, bérek, bérleti díj és rezsi, valamint egyéb (csomagolás, szállítás, marketing).</x:v>
      </x:c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</x:row>
    <x:row r="32" ht="26" customHeight="1">
      <x:c r="A32" s="42" t="str">
        <x:v>A 2026-os összegek nem valós vállalkozási adatok. A feladatban az öt előírt függvény és a két diagram az Összesítés munkalapon is megtalálható.</x:v>
      </x:c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</x:sheetData>
  <x:mergeCells>
    <x:mergeCell ref="A1:R2"/>
    <x:mergeCell ref="A3:R3"/>
    <x:mergeCell ref="A5:C5"/>
    <x:mergeCell ref="E5:R5"/>
    <x:mergeCell ref="E6:R7"/>
    <x:mergeCell ref="E8:R9"/>
    <x:mergeCell ref="E10:R11"/>
    <x:mergeCell ref="A13:R13"/>
    <x:mergeCell ref="A15:R15"/>
    <x:mergeCell ref="A31:R31"/>
    <x:mergeCell ref="A32:R32"/>
  </x:mergeCells>
  <x:conditionalFormatting sqref="R17:R2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9" hidden="0" customWidth="1"/>
    <x:col min="6" max="6" width="3" hidden="0" customWidth="1"/>
    <x:col min="7" max="7" width="19" hidden="0" customWidth="1"/>
    <x:col min="8" max="8" width="11" hidden="0" customWidth="1"/>
    <x:col min="9" max="9" width="11" hidden="0" customWidth="1"/>
    <x:col min="10" max="10" width="11" hidden="0" customWidth="1"/>
    <x:col min="11" max="11" width="17" hidden="0" customWidth="1"/>
    <x:col min="12" max="12" width="17" hidden="0" customWidth="1"/>
    <x:col min="13" max="13" width="12" hidden="0" customWidth="1"/>
    <x:col min="14" max="14" width="12" hidden="0" customWidth="1"/>
  </x:cols>
  <x:sheetData>
    <x:row r="1" ht="28" customHeight="1">
      <x:c r="A1" s="6" t="str">
        <x:v>KENYÉRMŰHELY KFT.  |  PÉNZÜGYI ÖSSZESÍTÉS 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8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5" customHeight="1">
      <x:c r="A3" s="12" t="str">
        <x:v>Bevételek, kiadások, éves eredmény, 5 kötelező Excel-függvény és 2 diagram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7" customHeight="1">
      <x:c r="A5" s="82" t="str">
        <x:v>ÉVES BEVÉTEL</x:v>
      </x:c>
      <x:c r="B5" s="82"/>
      <x:c r="C5" s="82"/>
      <x:c r="D5" s="82" t="str">
        <x:v>ÉVES KIADÁS</x:v>
      </x:c>
      <x:c r="E5" s="82"/>
      <x:c r="F5" s="82"/>
      <x:c r="G5" s="82" t="str">
        <x:v>ÉVES NYERESÉG</x:v>
      </x:c>
      <x:c r="H5" s="82"/>
      <x:c r="I5" s="82"/>
      <x:c r="J5" s="82" t="str">
        <x:v>HAVONTA ÁTLAG</x:v>
      </x:c>
      <x:c r="K5" s="82"/>
      <x:c r="L5" s="82"/>
      <x:c r="M5" s="2"/>
      <x:c r="N5" s="2"/>
    </x:row>
    <x:row r="6" ht="22" customHeight="1">
      <x:c r="A6" s="92" t="n">
        <x:f>Adatok!L29</x:f>
        <x:v>57512250</x:v>
      </x:c>
      <x:c r="B6" s="92"/>
      <x:c r="C6" s="92"/>
      <x:c r="D6" s="92" t="n">
        <x:f>Adatok!Q29</x:f>
        <x:v>51255000</x:v>
      </x:c>
      <x:c r="E6" s="92"/>
      <x:c r="F6" s="92"/>
      <x:c r="G6" s="92" t="n">
        <x:f>Adatok!R29</x:f>
        <x:v>6257250</x:v>
      </x:c>
      <x:c r="H6" s="92"/>
      <x:c r="I6" s="92"/>
      <x:c r="J6" s="100" t="n">
        <x:f>AVERAGE(B13:B24)</x:f>
        <x:v>4792687.5</x:v>
      </x:c>
      <x:c r="K6" s="100"/>
      <x:c r="L6" s="100"/>
      <x:c r="M6" s="2"/>
      <x:c r="N6" s="2"/>
    </x:row>
    <x:row r="7" ht="22" customHeight="1">
      <x:c r="A7" s="92"/>
      <x:c r="B7" s="92"/>
      <x:c r="C7" s="92"/>
      <x:c r="D7" s="92"/>
      <x:c r="E7" s="92"/>
      <x:c r="F7" s="92"/>
      <x:c r="G7" s="92"/>
      <x:c r="H7" s="92"/>
      <x:c r="I7" s="92"/>
      <x:c r="J7" s="100"/>
      <x:c r="K7" s="100"/>
      <x:c r="L7" s="100"/>
      <x:c r="M7" s="2"/>
      <x:c r="N7" s="2"/>
    </x:row>
    <x:row r="8" ht="22" customHeight="1">
      <x:c r="A8" s="92"/>
      <x:c r="B8" s="92"/>
      <x:c r="C8" s="92"/>
      <x:c r="D8" s="92"/>
      <x:c r="E8" s="92"/>
      <x:c r="F8" s="92"/>
      <x:c r="G8" s="92"/>
      <x:c r="H8" s="92"/>
      <x:c r="I8" s="92"/>
      <x:c r="J8" s="100"/>
      <x:c r="K8" s="100"/>
      <x:c r="L8" s="100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9" customHeight="1">
      <x:c r="A11" s="18" t="str">
        <x:v>HAVONKÉNTI EREDMÉNYKIMUTATÁS</x:v>
      </x:c>
      <x:c r="B11" s="18"/>
      <x:c r="C11" s="18"/>
      <x:c r="D11" s="18"/>
      <x:c r="E11" s="18"/>
      <x:c r="F11" s="2"/>
      <x:c r="G11" s="18" t="str">
        <x:v>KIADÁSOK MEGOSZLÁSA 2026-BAN</x:v>
      </x:c>
      <x:c r="H11" s="18"/>
      <x:c r="I11" s="18"/>
      <x:c r="J11" s="18"/>
      <x:c r="K11" s="18"/>
      <x:c r="L11" s="18"/>
      <x:c r="M11" s="2"/>
      <x:c r="N11" s="2"/>
    </x:row>
    <x:row r="12" ht="26" customHeight="1">
      <x:c r="A12" s="102" t="str">
        <x:v>Hónap</x:v>
      </x:c>
      <x:c r="B12" s="102" t="str">
        <x:v>Bevétel (Ft)</x:v>
      </x:c>
      <x:c r="C12" s="102" t="str">
        <x:v>Kiadás (Ft)</x:v>
      </x:c>
      <x:c r="D12" s="102" t="str">
        <x:v>Nyereség (Ft)</x:v>
      </x:c>
      <x:c r="E12" s="102" t="str">
        <x:v>Minősítés (HA)</x:v>
      </x:c>
      <x:c r="F12" s="2"/>
      <x:c r="G12" s="23" t="str">
        <x:v>Kiadási kategória</x:v>
      </x:c>
      <x:c r="H12" s="23"/>
      <x:c r="I12" s="23"/>
      <x:c r="J12" s="23"/>
      <x:c r="K12" s="23" t="str">
        <x:v>Összesen (Ft)</x:v>
      </x:c>
      <x:c r="L12" s="23"/>
      <x:c r="M12" s="2"/>
      <x:c r="N12" s="2"/>
    </x:row>
    <x:row r="13" ht="29" customHeight="1">
      <x:c r="A13" s="104" t="str">
        <x:f>Adatok!A17</x:f>
        <x:v>Január</x:v>
      </x:c>
      <x:c r="B13" s="108" t="n">
        <x:f>Adatok!L17</x:f>
        <x:v>3846000</x:v>
      </x:c>
      <x:c r="C13" s="108" t="n">
        <x:f>Adatok!Q17</x:f>
        <x:v>3830000</x:v>
      </x:c>
      <x:c r="D13" s="108" t="n">
        <x:f>Adatok!R17</x:f>
        <x:v>16000</x:v>
      </x:c>
      <x:c r="E13" s="27" t="str">
        <x:f>IF(D13&gt;=0,"Nyereséges","Veszteséges")</x:f>
        <x:v>Nyereséges</x:v>
      </x:c>
      <x:c r="F13" s="2"/>
      <x:c r="G13" s="27" t="str">
        <x:v>Alapanyagok</x:v>
      </x:c>
      <x:c r="H13" s="27"/>
      <x:c r="I13" s="27"/>
      <x:c r="J13" s="27"/>
      <x:c r="K13" s="108" t="n">
        <x:f>SUM(Adatok!M17:M28)</x:f>
        <x:v>19670000</x:v>
      </x:c>
      <x:c r="L13" s="108"/>
      <x:c r="M13" s="2"/>
      <x:c r="N13" s="2"/>
    </x:row>
    <x:row r="14" ht="29" customHeight="1">
      <x:c r="A14" s="106" t="str">
        <x:f>Adatok!A18</x:f>
        <x:v>Február</x:v>
      </x:c>
      <x:c r="B14" s="109" t="n">
        <x:f>Adatok!L18</x:f>
        <x:v>3626500</x:v>
      </x:c>
      <x:c r="C14" s="109" t="n">
        <x:f>Adatok!Q18</x:f>
        <x:v>3770000</x:v>
      </x:c>
      <x:c r="D14" s="109" t="n">
        <x:f>Adatok!R18</x:f>
        <x:v>-143500</x:v>
      </x:c>
      <x:c r="E14" s="61" t="str">
        <x:f>IF(D14&gt;=0,"Nyereséges","Veszteséges")</x:f>
        <x:v>Veszteséges</x:v>
      </x:c>
      <x:c r="F14" s="2"/>
      <x:c r="G14" s="61" t="str">
        <x:v>Bérek</x:v>
      </x:c>
      <x:c r="H14" s="61"/>
      <x:c r="I14" s="61"/>
      <x:c r="J14" s="61"/>
      <x:c r="K14" s="109" t="n">
        <x:f>SUM(Adatok!N17:N28)</x:f>
        <x:v>21370000</x:v>
      </x:c>
      <x:c r="L14" s="109"/>
      <x:c r="M14" s="2"/>
      <x:c r="N14" s="2"/>
    </x:row>
    <x:row r="15" ht="29" customHeight="1">
      <x:c r="A15" s="104" t="str">
        <x:f>Adatok!A19</x:f>
        <x:v>Március</x:v>
      </x:c>
      <x:c r="B15" s="108" t="n">
        <x:f>Adatok!L19</x:f>
        <x:v>4149000</x:v>
      </x:c>
      <x:c r="C15" s="108" t="n">
        <x:f>Adatok!Q19</x:f>
        <x:v>3910000</x:v>
      </x:c>
      <x:c r="D15" s="108" t="n">
        <x:f>Adatok!R19</x:f>
        <x:v>239000</x:v>
      </x:c>
      <x:c r="E15" s="27" t="str">
        <x:f>IF(D15&gt;=0,"Nyereséges","Veszteséges")</x:f>
        <x:v>Nyereséges</x:v>
      </x:c>
      <x:c r="F15" s="2"/>
      <x:c r="G15" s="27" t="str">
        <x:v>Bérleti díj és rezsi</x:v>
      </x:c>
      <x:c r="H15" s="27"/>
      <x:c r="I15" s="27"/>
      <x:c r="J15" s="27"/>
      <x:c r="K15" s="108" t="n">
        <x:f>SUM(Adatok!O17:O28)</x:f>
        <x:v>7405000</x:v>
      </x:c>
      <x:c r="L15" s="108"/>
      <x:c r="M15" s="2"/>
      <x:c r="N15" s="2"/>
    </x:row>
    <x:row r="16" ht="29" customHeight="1">
      <x:c r="A16" s="106" t="str">
        <x:f>Adatok!A20</x:f>
        <x:v>Április</x:v>
      </x:c>
      <x:c r="B16" s="109" t="n">
        <x:f>Adatok!L20</x:f>
        <x:v>4404000</x:v>
      </x:c>
      <x:c r="C16" s="109" t="n">
        <x:f>Adatok!Q20</x:f>
        <x:v>4060000</x:v>
      </x:c>
      <x:c r="D16" s="109" t="n">
        <x:f>Adatok!R20</x:f>
        <x:v>344000</x:v>
      </x:c>
      <x:c r="E16" s="61" t="str">
        <x:f>IF(D16&gt;=0,"Nyereséges","Veszteséges")</x:f>
        <x:v>Nyereséges</x:v>
      </x:c>
      <x:c r="F16" s="2"/>
      <x:c r="G16" s="61" t="str">
        <x:v>Egyéb (csomagolás, szállítás stb.)</x:v>
      </x:c>
      <x:c r="H16" s="61"/>
      <x:c r="I16" s="61"/>
      <x:c r="J16" s="61"/>
      <x:c r="K16" s="109" t="n">
        <x:f>SUM(Adatok!P17:P28)</x:f>
        <x:v>2810000</x:v>
      </x:c>
      <x:c r="L16" s="109"/>
      <x:c r="M16" s="2"/>
      <x:c r="N16" s="2"/>
    </x:row>
    <x:row r="17" ht="26" customHeight="1">
      <x:c r="A17" s="104" t="str">
        <x:f>Adatok!A21</x:f>
        <x:v>Május</x:v>
      </x:c>
      <x:c r="B17" s="108" t="n">
        <x:f>Adatok!L21</x:f>
        <x:v>4789000</x:v>
      </x:c>
      <x:c r="C17" s="108" t="n">
        <x:f>Adatok!Q21</x:f>
        <x:v>4160000</x:v>
      </x:c>
      <x:c r="D17" s="108" t="n">
        <x:f>Adatok!R21</x:f>
        <x:v>629000</x:v>
      </x:c>
      <x:c r="E17" s="27" t="str">
        <x:f>IF(D17&gt;=0,"Nyereséges","Veszteséges")</x:f>
        <x:v>Nyereséges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6" customHeight="1">
      <x:c r="A18" s="106" t="str">
        <x:f>Adatok!A22</x:f>
        <x:v>Június</x:v>
      </x:c>
      <x:c r="B18" s="109" t="n">
        <x:f>Adatok!L22</x:f>
        <x:v>5052500</x:v>
      </x:c>
      <x:c r="C18" s="109" t="n">
        <x:f>Adatok!Q22</x:f>
        <x:v>4320000</x:v>
      </x:c>
      <x:c r="D18" s="109" t="n">
        <x:f>Adatok!R22</x:f>
        <x:v>732500</x:v>
      </x:c>
      <x:c r="E18" s="61" t="str">
        <x:f>IF(D18&gt;=0,"Nyereséges","Veszteséges")</x:f>
        <x:v>Nyereséges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7" customHeight="1">
      <x:c r="A19" s="104" t="str">
        <x:f>Adatok!A23</x:f>
        <x:v>Július</x:v>
      </x:c>
      <x:c r="B19" s="108" t="n">
        <x:f>Adatok!L23</x:f>
        <x:v>5245500</x:v>
      </x:c>
      <x:c r="C19" s="108" t="n">
        <x:f>Adatok!Q23</x:f>
        <x:v>4430000</x:v>
      </x:c>
      <x:c r="D19" s="108" t="n">
        <x:f>Adatok!R23</x:f>
        <x:v>815500</x:v>
      </x:c>
      <x:c r="E19" s="27" t="str">
        <x:f>IF(D19&gt;=0,"Nyereséges","Veszteséges")</x:f>
        <x:v>Nyereséges</x:v>
      </x:c>
      <x:c r="F19" s="2"/>
      <x:c r="G19" s="112" t="str">
        <x:v>TOVÁBBI MUTATÓK</x:v>
      </x:c>
      <x:c r="H19" s="112"/>
      <x:c r="I19" s="112"/>
      <x:c r="J19" s="112"/>
      <x:c r="K19" s="112" t="str">
        <x:v>Érték</x:v>
      </x:c>
      <x:c r="L19" s="112"/>
      <x:c r="M19" s="2"/>
      <x:c r="N19" s="2"/>
    </x:row>
    <x:row r="20" ht="30" customHeight="1">
      <x:c r="A20" s="106" t="str">
        <x:f>Adatok!A24</x:f>
        <x:v>Augusztus</x:v>
      </x:c>
      <x:c r="B20" s="109" t="n">
        <x:f>Adatok!L24</x:f>
        <x:v>5508000</x:v>
      </x:c>
      <x:c r="C20" s="109" t="n">
        <x:f>Adatok!Q24</x:f>
        <x:v>4500000</x:v>
      </x:c>
      <x:c r="D20" s="109" t="n">
        <x:f>Adatok!R24</x:f>
        <x:v>1008000</x:v>
      </x:c>
      <x:c r="E20" s="61" t="str">
        <x:f>IF(D20&gt;=0,"Nyereséges","Veszteséges")</x:f>
        <x:v>Nyereséges</x:v>
      </x:c>
      <x:c r="F20" s="2"/>
      <x:c r="G20" s="27" t="str">
        <x:v>Legmagasabb havi bevétel (MAX)</x:v>
      </x:c>
      <x:c r="H20" s="27"/>
      <x:c r="I20" s="27"/>
      <x:c r="J20" s="27"/>
      <x:c r="K20" s="72" t="n">
        <x:f>MAX(B13:B24)</x:f>
        <x:v>6311500</x:v>
      </x:c>
      <x:c r="L20" s="72"/>
      <x:c r="M20" s="2"/>
      <x:c r="N20" s="2"/>
    </x:row>
    <x:row r="21" ht="30" customHeight="1">
      <x:c r="A21" s="104" t="str">
        <x:f>Adatok!A25</x:f>
        <x:v>Szeptember</x:v>
      </x:c>
      <x:c r="B21" s="108" t="n">
        <x:f>Adatok!L25</x:f>
        <x:v>5106500</x:v>
      </x:c>
      <x:c r="C21" s="108" t="n">
        <x:f>Adatok!Q25</x:f>
        <x:v>4410000</x:v>
      </x:c>
      <x:c r="D21" s="108" t="n">
        <x:f>Adatok!R25</x:f>
        <x:v>696500</x:v>
      </x:c>
      <x:c r="E21" s="27" t="str">
        <x:f>IF(D21&gt;=0,"Nyereséges","Veszteséges")</x:f>
        <x:v>Nyereséges</x:v>
      </x:c>
      <x:c r="F21" s="2"/>
      <x:c r="G21" s="61" t="str">
        <x:v>Nyereséges hónapok (DARABTELI)</x:v>
      </x:c>
      <x:c r="H21" s="61"/>
      <x:c r="I21" s="61"/>
      <x:c r="J21" s="61"/>
      <x:c r="K21" s="114" t="n">
        <x:f>COUNTIF(E13:E24,"Nyereséges")</x:f>
        <x:v>11</x:v>
      </x:c>
      <x:c r="L21" s="114"/>
      <x:c r="M21" s="2"/>
      <x:c r="N21" s="2"/>
    </x:row>
    <x:row r="22" ht="30" customHeight="1">
      <x:c r="A22" s="106" t="str">
        <x:f>Adatok!A26</x:f>
        <x:v>Október</x:v>
      </x:c>
      <x:c r="B22" s="109" t="n">
        <x:f>Adatok!L26</x:f>
        <x:v>4827500</x:v>
      </x:c>
      <x:c r="C22" s="109" t="n">
        <x:f>Adatok!Q26</x:f>
        <x:v>4325000</x:v>
      </x:c>
      <x:c r="D22" s="109" t="n">
        <x:f>Adatok!R26</x:f>
        <x:v>502500</x:v>
      </x:c>
      <x:c r="E22" s="61" t="str">
        <x:f>IF(D22&gt;=0,"Nyereséges","Veszteséges")</x:f>
        <x:v>Nyereséges</x:v>
      </x:c>
      <x:c r="F22" s="2"/>
      <x:c r="G22" s="27" t="str">
        <x:v>Átlagos havi bevétel (ÁTLAG)</x:v>
      </x:c>
      <x:c r="H22" s="27"/>
      <x:c r="I22" s="27"/>
      <x:c r="J22" s="27"/>
      <x:c r="K22" s="72" t="n">
        <x:f>AVERAGE(B13:B24)</x:f>
        <x:v>4792687.5</x:v>
      </x:c>
      <x:c r="L22" s="72"/>
      <x:c r="M22" s="2"/>
      <x:c r="N22" s="2"/>
    </x:row>
    <x:row r="23" ht="30" customHeight="1">
      <x:c r="A23" s="104" t="str">
        <x:f>Adatok!A27</x:f>
        <x:v>November</x:v>
      </x:c>
      <x:c r="B23" s="108" t="n">
        <x:f>Adatok!L27</x:f>
        <x:v>4646250</x:v>
      </x:c>
      <x:c r="C23" s="108" t="n">
        <x:f>Adatok!Q27</x:f>
        <x:v>4340000</x:v>
      </x:c>
      <x:c r="D23" s="108" t="n">
        <x:f>Adatok!R27</x:f>
        <x:v>306250</x:v>
      </x:c>
      <x:c r="E23" s="27" t="str">
        <x:f>IF(D23&gt;=0,"Nyereséges","Veszteséges")</x:f>
        <x:v>Nyereséges</x:v>
      </x:c>
      <x:c r="F23" s="2"/>
      <x:c r="G23" s="61" t="str">
        <x:v>Átlagos havi eredmény (ÁTLAG)</x:v>
      </x:c>
      <x:c r="H23" s="61"/>
      <x:c r="I23" s="61"/>
      <x:c r="J23" s="61"/>
      <x:c r="K23" s="74" t="n">
        <x:f>AVERAGE(D13:D24)</x:f>
        <x:v>521437.5</x:v>
      </x:c>
      <x:c r="L23" s="74"/>
      <x:c r="M23" s="2"/>
      <x:c r="N23" s="2"/>
    </x:row>
    <x:row r="24" ht="26" customHeight="1">
      <x:c r="A24" s="106" t="str">
        <x:f>Adatok!A28</x:f>
        <x:v>December</x:v>
      </x:c>
      <x:c r="B24" s="109" t="n">
        <x:f>Adatok!L28</x:f>
        <x:v>6311500</x:v>
      </x:c>
      <x:c r="C24" s="109" t="n">
        <x:f>Adatok!Q28</x:f>
        <x:v>5200000</x:v>
      </x:c>
      <x:c r="D24" s="109" t="n">
        <x:f>Adatok!R28</x:f>
        <x:v>1111500</x:v>
      </x:c>
      <x:c r="E24" s="61" t="str">
        <x:f>IF(D24&gt;=0,"Nyereséges","Veszteséges")</x:f>
        <x:v>Nyereséges</x:v>
      </x:c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8" customHeight="1">
      <x:c r="A25" s="65" t="str">
        <x:v>ÉVES ÖSSZESEN</x:v>
      </x:c>
      <x:c r="B25" s="75" t="n">
        <x:f>SUM(B13:B24)</x:f>
        <x:v>57512250</x:v>
      </x:c>
      <x:c r="C25" s="75" t="n">
        <x:f>SUM(C13:C24)</x:f>
        <x:v>51255000</x:v>
      </x:c>
      <x:c r="D25" s="75" t="n">
        <x:f>SUM(D13:D24)</x:f>
        <x:v>6257250</x:v>
      </x:c>
      <x:c r="E25" s="65"/>
      <x:c r="F25" s="2"/>
      <x:c r="G25" s="112" t="str">
        <x:v>5 ELŐÍRT FÜGGVÉNY</x:v>
      </x:c>
      <x:c r="H25" s="112"/>
      <x:c r="I25" s="112"/>
      <x:c r="J25" s="112"/>
      <x:c r="K25" s="112"/>
      <x:c r="L25" s="112"/>
      <x:c r="M25" s="2"/>
      <x:c r="N25" s="2"/>
    </x:row>
    <x:row r="26" ht="28" customHeight="1">
      <x:c r="A26" s="2"/>
      <x:c r="B26" s="2"/>
      <x:c r="C26" s="2"/>
      <x:c r="D26" s="2"/>
      <x:c r="E26" s="2"/>
      <x:c r="F26" s="2"/>
      <x:c r="G26" s="118" t="str">
        <x:v>SZUM • ÁTLAG • HA • MAX • DARABTELI</x:v>
      </x:c>
      <x:c r="H26" s="118"/>
      <x:c r="I26" s="118"/>
      <x:c r="J26" s="118"/>
      <x:c r="K26" s="118"/>
      <x:c r="L26" s="118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7" customHeight="1">
      <x:c r="A28" s="42" t="str">
        <x:v>Az Excel magyar nyelvű felületén a képletek magyar függvénynévvel jelennek meg. Az adatok kitaláltak, a képletek szerkeszthetők.</x:v>
      </x:c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7" customHeight="1">
      <x:c r="A30" s="18" t="str">
        <x:v>GRAFIKONOK: HAVI BEVÉTELEK ÉS ÉVES KIADÁSI MEGOSZLÁS</x:v>
      </x:c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11:E11"/>
    <x:mergeCell ref="G11:L11"/>
    <x:mergeCell ref="G12:J12"/>
    <x:mergeCell ref="K12:L12"/>
    <x:mergeCell ref="G13:J13"/>
    <x:mergeCell ref="K13:L13"/>
    <x:mergeCell ref="G14:J14"/>
    <x:mergeCell ref="K14:L14"/>
    <x:mergeCell ref="G15:J15"/>
    <x:mergeCell ref="K15:L15"/>
    <x:mergeCell ref="G16:J16"/>
    <x:mergeCell ref="K16:L16"/>
    <x:mergeCell ref="G19:J19"/>
    <x:mergeCell ref="K19:L19"/>
    <x:mergeCell ref="G20:J20"/>
    <x:mergeCell ref="K20:L20"/>
    <x:mergeCell ref="G21:J21"/>
    <x:mergeCell ref="K21:L21"/>
    <x:mergeCell ref="G22:J22"/>
    <x:mergeCell ref="K22:L22"/>
    <x:mergeCell ref="G23:J23"/>
    <x:mergeCell ref="K23:L23"/>
    <x:mergeCell ref="G25:L25"/>
    <x:mergeCell ref="G26:L26"/>
    <x:mergeCell ref="A28:N28"/>
    <x:mergeCell ref="A30:N30"/>
  </x:mergeCells>
  <x:conditionalFormatting sqref="D13:D24">
    <x:cfRule type="cellIs" dxfId="1" priority="1" operator="lessThan">
      <x:formula>0</x:formula>
    </x:cfRule>
  </x:conditionalFormatting>
  <x:conditionalFormatting sqref="E13:E24">
    <x:cfRule type="expression" dxfId="2" priority="2">
      <x:formula>E13="Veszteséges"</x:formula>
    </x:cfRule>
    <x:cfRule type="expression" dxfId="3" priority="3">
      <x:formula>E13="Nyereséges"</x:formula>
    </x:cfRule>
  </x:conditionalFormatting>
  <x:pageMargins left="0.7" right="0.7" top="0.75" bottom="0.75" header="0.3" footer="0.3"/>
  <x:drawing xmlns:r="http://schemas.openxmlformats.org/officeDocument/2006/relationships" r:id="R9fa6bbf7c22948ed"/>
</x:worksheet>
</file>